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" sheetId="1" r:id="rId5"/>
    <sheet state="visible" name="Bug Report" sheetId="2" r:id="rId6"/>
  </sheets>
  <definedNames/>
  <calcPr/>
</workbook>
</file>

<file path=xl/sharedStrings.xml><?xml version="1.0" encoding="utf-8"?>
<sst xmlns="http://schemas.openxmlformats.org/spreadsheetml/2006/main" count="231" uniqueCount="141">
  <si>
    <t>Project Name:</t>
  </si>
  <si>
    <t>Netlify</t>
  </si>
  <si>
    <t>Test Designed by:</t>
  </si>
  <si>
    <t>Ramashis Roy</t>
  </si>
  <si>
    <t>Module Name:</t>
  </si>
  <si>
    <t>Login</t>
  </si>
  <si>
    <t>Test Designed date:</t>
  </si>
  <si>
    <t>Browser:</t>
  </si>
  <si>
    <t xml:space="preserve">Brave </t>
  </si>
  <si>
    <t>Test Executed by:</t>
  </si>
  <si>
    <t>Noman Ibrahim</t>
  </si>
  <si>
    <t>Release Version:</t>
  </si>
  <si>
    <t xml:space="preserve">1.84.141 </t>
  </si>
  <si>
    <t>Test Execution date:</t>
  </si>
  <si>
    <t>Test Case ID</t>
  </si>
  <si>
    <t>Module / Feature</t>
  </si>
  <si>
    <t>Test Scenario</t>
  </si>
  <si>
    <t>Pre-Condition</t>
  </si>
  <si>
    <t>Test Steps</t>
  </si>
  <si>
    <t>Test Data</t>
  </si>
  <si>
    <t>Expected Result</t>
  </si>
  <si>
    <t>Actual Result</t>
  </si>
  <si>
    <t>Post Condition</t>
  </si>
  <si>
    <t>Priority</t>
  </si>
  <si>
    <t>Test Type</t>
  </si>
  <si>
    <t>Status</t>
  </si>
  <si>
    <t>Comments</t>
  </si>
  <si>
    <t>TC-LG-001</t>
  </si>
  <si>
    <t>Login with valid email and password</t>
  </si>
  <si>
    <t>User is not registered</t>
  </si>
  <si>
    <r>
      <rPr>
        <rFont val="Arial"/>
        <color theme="1"/>
      </rPr>
      <t xml:space="preserve">1. Open login page
</t>
    </r>
    <r>
      <rPr>
        <rFont val="Arial"/>
        <b/>
        <color theme="1"/>
      </rPr>
      <t>2. Enter valid email
3. Enter valid password</t>
    </r>
    <r>
      <rPr>
        <rFont val="Arial"/>
        <color theme="1"/>
      </rPr>
      <t xml:space="preserve">
4. Click Launch</t>
    </r>
  </si>
  <si>
    <t>Email: iamaproudqa@yopmail.com
Password: Abc123</t>
  </si>
  <si>
    <t>Login unsuccessful</t>
  </si>
  <si>
    <t>Alart message "Invalid email or password"</t>
  </si>
  <si>
    <t>Medium</t>
  </si>
  <si>
    <t>Functional</t>
  </si>
  <si>
    <t>Pass</t>
  </si>
  <si>
    <t>TC-LG-002</t>
  </si>
  <si>
    <t>Click Login with spaces before/after email</t>
  </si>
  <si>
    <t>Login page loaded</t>
  </si>
  <si>
    <r>
      <rPr>
        <rFont val="Arial"/>
        <b/>
        <color theme="1"/>
      </rPr>
      <t>1. Enter email with spaces</t>
    </r>
    <r>
      <rPr>
        <rFont val="Arial"/>
        <color theme="1"/>
      </rPr>
      <t xml:space="preserve">
2. Enter password
3. Click Login</t>
    </r>
  </si>
  <si>
    <t>Email: iamaproudqa@ yopmail.com
Pass: 1o02o0!@#</t>
  </si>
  <si>
    <t>User stays on Login page
Alert Message : A part followed by @ should not contain the symbol ' '</t>
  </si>
  <si>
    <t>High</t>
  </si>
  <si>
    <t>Negative</t>
  </si>
  <si>
    <t>TC-LG-003</t>
  </si>
  <si>
    <t>Login with empty email and password</t>
  </si>
  <si>
    <r>
      <rPr>
        <rFont val="Arial"/>
        <color theme="1"/>
      </rPr>
      <t xml:space="preserve">1. Open login page
</t>
    </r>
    <r>
      <rPr>
        <rFont val="Arial"/>
        <b/>
        <color theme="1"/>
      </rPr>
      <t>2. Leave email empty
3. Leave password empty</t>
    </r>
    <r>
      <rPr>
        <rFont val="Arial"/>
        <color theme="1"/>
      </rPr>
      <t xml:space="preserve">
4. Click Launch</t>
    </r>
  </si>
  <si>
    <t>N/A</t>
  </si>
  <si>
    <t>Alart message "Please fill out this field"</t>
  </si>
  <si>
    <t>Boundary</t>
  </si>
  <si>
    <t>Required field validation</t>
  </si>
  <si>
    <t>TC-LG-004</t>
  </si>
  <si>
    <t>Login with empty email only</t>
  </si>
  <si>
    <r>
      <rPr>
        <rFont val="Arial"/>
        <b/>
        <color theme="1"/>
      </rPr>
      <t>1. Leave email empty</t>
    </r>
    <r>
      <rPr>
        <rFont val="Arial"/>
        <color theme="1"/>
      </rPr>
      <t xml:space="preserve">
2. Enter password
3. Click Launch</t>
    </r>
  </si>
  <si>
    <t>Password: 1o02o0!@#</t>
  </si>
  <si>
    <t>TC-LG-005</t>
  </si>
  <si>
    <t>Login with empty password only</t>
  </si>
  <si>
    <r>
      <rPr>
        <rFont val="Arial"/>
        <color theme="1"/>
      </rPr>
      <t xml:space="preserve">1. Enter email
</t>
    </r>
    <r>
      <rPr>
        <rFont val="Arial"/>
        <b/>
        <color theme="1"/>
      </rPr>
      <t>2. Leave password empty</t>
    </r>
    <r>
      <rPr>
        <rFont val="Arial"/>
        <color theme="1"/>
      </rPr>
      <t xml:space="preserve">
3. Click Launch</t>
    </r>
  </si>
  <si>
    <t>Email: iamaproudqa@yopmail.com
Password: Blank</t>
  </si>
  <si>
    <t>TC-LG-006</t>
  </si>
  <si>
    <t>Login Button</t>
  </si>
  <si>
    <t>Click Launch without internet</t>
  </si>
  <si>
    <t>Internet disconnected</t>
  </si>
  <si>
    <r>
      <rPr>
        <rFont val="Arial"/>
        <b/>
        <color theme="1"/>
      </rPr>
      <t>1. Turn off internet</t>
    </r>
    <r>
      <rPr>
        <rFont val="Arial"/>
        <color theme="1"/>
      </rPr>
      <t xml:space="preserve">
2. Enter valid credentials
3. Click Launch</t>
    </r>
  </si>
  <si>
    <t>Valid credentials</t>
  </si>
  <si>
    <t>Alart message "Failed to fetch"</t>
  </si>
  <si>
    <t>Network handling</t>
  </si>
  <si>
    <t>Bug Designed by:</t>
  </si>
  <si>
    <t>Bug Designed date:</t>
  </si>
  <si>
    <t>Bug Executed by:</t>
  </si>
  <si>
    <t>Bug Execution date:</t>
  </si>
  <si>
    <t>BUG-LG-001</t>
  </si>
  <si>
    <t>Login Password Field</t>
  </si>
  <si>
    <t>Password accepts space character</t>
  </si>
  <si>
    <r>
      <rPr>
        <rFont val="Arial"/>
        <color theme="1"/>
      </rPr>
      <t xml:space="preserve">1. Click on password field
</t>
    </r>
    <r>
      <rPr>
        <rFont val="Arial"/>
        <b/>
        <color theme="1"/>
      </rPr>
      <t>2. Press space key multiple times</t>
    </r>
    <r>
      <rPr>
        <rFont val="Arial"/>
        <color theme="1"/>
      </rPr>
      <t xml:space="preserve">
3. Click Launch</t>
    </r>
  </si>
  <si>
    <t>Pass: Abc (spaces only)123</t>
  </si>
  <si>
    <t>Password should not accept only spaces 
and validation message should appear</t>
  </si>
  <si>
    <t>Space accepted as password 
and login attempted</t>
  </si>
  <si>
    <t>Unexpected behavior</t>
  </si>
  <si>
    <t>Validation</t>
  </si>
  <si>
    <t>Open</t>
  </si>
  <si>
    <t>Password input not properly validated</t>
  </si>
  <si>
    <t>BUG-LG-002</t>
  </si>
  <si>
    <t>Password field allows more than maximum length</t>
  </si>
  <si>
    <r>
      <rPr>
        <rFont val="Arial"/>
        <color theme="1"/>
      </rPr>
      <t xml:space="preserve">1. Click on password field
</t>
    </r>
    <r>
      <rPr>
        <rFont val="Arial"/>
        <b/>
        <color theme="1"/>
      </rPr>
      <t>2. Enter more than 100 characters</t>
    </r>
    <r>
      <rPr>
        <rFont val="Arial"/>
        <color theme="1"/>
      </rPr>
      <t xml:space="preserve">
3. Click Launch</t>
    </r>
  </si>
  <si>
    <t>100+ random characters</t>
  </si>
  <si>
    <t>Password length should be limited and error message shown</t>
  </si>
  <si>
    <t>System accepts long password / UI slows down</t>
  </si>
  <si>
    <t>Login not completed</t>
  </si>
  <si>
    <t>Maximum length validation missing</t>
  </si>
  <si>
    <t>BUG-LG-003</t>
  </si>
  <si>
    <t>Login Email Field</t>
  </si>
  <si>
    <r>
      <rPr>
        <rFont val="Arial"/>
        <b/>
        <color theme="1"/>
      </rPr>
      <t>1. Click on Email field</t>
    </r>
    <r>
      <rPr>
        <rFont val="Arial"/>
        <color theme="1"/>
      </rPr>
      <t xml:space="preserve">
2. Enter more than 100 characters
3. Click Launch</t>
    </r>
  </si>
  <si>
    <t>BUG-LG-004</t>
  </si>
  <si>
    <t>Login Password Validation</t>
  </si>
  <si>
    <t>Password without special character accepted</t>
  </si>
  <si>
    <r>
      <rPr>
        <rFont val="Arial"/>
        <color theme="1"/>
      </rPr>
      <t xml:space="preserve">1. Enter valid email
</t>
    </r>
    <r>
      <rPr>
        <rFont val="Arial"/>
        <b/>
        <color theme="1"/>
      </rPr>
      <t>2. Enter password without special character</t>
    </r>
    <r>
      <rPr>
        <rFont val="Arial"/>
        <color theme="1"/>
      </rPr>
      <t xml:space="preserve">
3. Click Launch</t>
    </r>
  </si>
  <si>
    <t>System should reject weak password</t>
  </si>
  <si>
    <t>Password accepted</t>
  </si>
  <si>
    <t>Login attempt made</t>
  </si>
  <si>
    <t>Security</t>
  </si>
  <si>
    <t>Weak password policy</t>
  </si>
  <si>
    <t>BUG-LG-005</t>
  </si>
  <si>
    <t>Copy–paste allowed in password field</t>
  </si>
  <si>
    <r>
      <rPr>
        <rFont val="Arial"/>
        <color theme="1"/>
      </rPr>
      <t xml:space="preserve">1. Copy password text
</t>
    </r>
    <r>
      <rPr>
        <rFont val="Arial"/>
        <b/>
        <color theme="1"/>
      </rPr>
      <t>2. Paste into password field</t>
    </r>
  </si>
  <si>
    <t>Pass: 1o02o0!@#</t>
  </si>
  <si>
    <t>Paste should be disabled for security</t>
  </si>
  <si>
    <t>Password pasted successfully</t>
  </si>
  <si>
    <t>Password entered</t>
  </si>
  <si>
    <t>Clipboard usage allowed</t>
  </si>
  <si>
    <t>BUG-LG-006</t>
  </si>
  <si>
    <t>Login Password UI</t>
  </si>
  <si>
    <t>Show/Hide password toggle missing</t>
  </si>
  <si>
    <t>1. Observe password field</t>
  </si>
  <si>
    <t>Show/Hide toggle should be available</t>
  </si>
  <si>
    <t>Toggle not available</t>
  </si>
  <si>
    <t>User cannot verify password</t>
  </si>
  <si>
    <t>Low</t>
  </si>
  <si>
    <t>Usability</t>
  </si>
  <si>
    <t>UX improvement needed</t>
  </si>
  <si>
    <t>BUG-LG-007</t>
  </si>
  <si>
    <t>Login Performance</t>
  </si>
  <si>
    <t>Login takes too much time to respond</t>
  </si>
  <si>
    <t>User has valid credentials 
and stable internet</t>
  </si>
  <si>
    <t>1. Open login page
2. Enter valid email
3. Enter valid password
4. Click Launch</t>
  </si>
  <si>
    <t>Valid email &amp; password</t>
  </si>
  <si>
    <t>User should be logged in within acceptable time</t>
  </si>
  <si>
    <t>Login takes long time / 
no immediate response</t>
  </si>
  <si>
    <t>User waits or retries login</t>
  </si>
  <si>
    <t>Performance</t>
  </si>
  <si>
    <t>No loading indicator shown</t>
  </si>
  <si>
    <t>BUG-LG-008</t>
  </si>
  <si>
    <t>Login UX</t>
  </si>
  <si>
    <t>No loading indicator during login process</t>
  </si>
  <si>
    <t>1. Enter valid credentials
2. Click Launch</t>
  </si>
  <si>
    <t>Loading spinner or progress indicator should appear</t>
  </si>
  <si>
    <t>No loader shown</t>
  </si>
  <si>
    <t>User unsure if action is processing</t>
  </si>
  <si>
    <t>UX</t>
  </si>
  <si>
    <t>Poor user experience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</si>
</sst>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&quot;-&quot;mmm&quot;-&quot;yyyy"/>
  </numFmts>
  <fonts count="6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b/>
      <u/>
      <color rgb="FF0000FF"/>
      <name val="Arial"/>
    </font>
    <font>
      <color theme="1"/>
      <name val="Arial"/>
      <scheme val="minor"/>
    </font>
    <font>
      <b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99CCFF"/>
        <bgColor rgb="FF99CCFF"/>
      </patternFill>
    </fill>
    <fill>
      <patternFill patternType="solid">
        <fgColor rgb="FF4A86E8"/>
        <bgColor rgb="FF4A86E8"/>
      </patternFill>
    </fill>
    <fill>
      <patternFill patternType="solid">
        <fgColor rgb="FFCC4125"/>
        <bgColor rgb="FFCC4125"/>
      </patternFill>
    </fill>
    <fill>
      <patternFill patternType="solid">
        <fgColor rgb="FFF9CB9C"/>
        <bgColor rgb="FFF9CB9C"/>
      </patternFill>
    </fill>
    <fill>
      <patternFill patternType="solid">
        <fgColor rgb="FFFFFF00"/>
        <bgColor rgb="FFFFFF00"/>
      </patternFill>
    </fill>
    <fill>
      <patternFill patternType="solid">
        <fgColor rgb="FF6AA84F"/>
        <bgColor rgb="FF6AA84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1" fillId="2" fontId="2" numFmtId="0" xfId="0" applyAlignment="1" applyBorder="1" applyFill="1" applyFont="1">
      <alignment vertical="center"/>
    </xf>
    <xf borderId="1" fillId="2" fontId="3" numFmtId="0" xfId="0" applyAlignment="1" applyBorder="1" applyFont="1">
      <alignment readingOrder="0" vertical="center"/>
    </xf>
    <xf borderId="1" fillId="2" fontId="2" numFmtId="0" xfId="0" applyAlignment="1" applyBorder="1" applyFont="1">
      <alignment horizontal="left" vertical="center"/>
    </xf>
    <xf borderId="1" fillId="3" fontId="2" numFmtId="0" xfId="0" applyAlignment="1" applyBorder="1" applyFill="1" applyFont="1">
      <alignment vertical="center"/>
    </xf>
    <xf borderId="0" fillId="0" fontId="4" numFmtId="0" xfId="0" applyAlignment="1" applyFont="1">
      <alignment vertical="center"/>
    </xf>
    <xf borderId="1" fillId="2" fontId="2" numFmtId="0" xfId="0" applyAlignment="1" applyBorder="1" applyFont="1">
      <alignment readingOrder="0" vertical="center"/>
    </xf>
    <xf borderId="1" fillId="2" fontId="2" numFmtId="164" xfId="0" applyAlignment="1" applyBorder="1" applyFont="1" applyNumberFormat="1">
      <alignment horizontal="left" readingOrder="0" vertical="center"/>
    </xf>
    <xf borderId="1" fillId="4" fontId="2" numFmtId="0" xfId="0" applyAlignment="1" applyBorder="1" applyFill="1" applyFont="1">
      <alignment vertical="center"/>
    </xf>
    <xf borderId="1" fillId="2" fontId="2" numFmtId="0" xfId="0" applyAlignment="1" applyBorder="1" applyFont="1">
      <alignment horizontal="left" readingOrder="0" vertical="center"/>
    </xf>
    <xf borderId="1" fillId="5" fontId="2" numFmtId="0" xfId="0" applyAlignment="1" applyBorder="1" applyFill="1" applyFont="1">
      <alignment vertical="center"/>
    </xf>
    <xf borderId="1" fillId="6" fontId="2" numFmtId="0" xfId="0" applyAlignment="1" applyBorder="1" applyFill="1" applyFont="1">
      <alignment vertical="center"/>
    </xf>
    <xf borderId="1" fillId="7" fontId="2" numFmtId="0" xfId="0" applyAlignment="1" applyBorder="1" applyFill="1" applyFont="1">
      <alignment horizontal="center" vertical="center"/>
    </xf>
    <xf borderId="1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readingOrder="0" vertical="center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vertical="center"/>
    </xf>
    <xf borderId="1" fillId="7" fontId="2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readingOrder="0" vertical="center"/>
    </xf>
    <xf borderId="1" fillId="0" fontId="4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left" readingOrder="0" vertical="center"/>
    </xf>
    <xf borderId="1" fillId="0" fontId="5" numFmtId="0" xfId="0" applyAlignment="1" applyBorder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ogin-e3.netlify.app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login-e3.netlify.app/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0.88"/>
    <col customWidth="1" min="2" max="2" width="14.38"/>
    <col customWidth="1" min="3" max="3" width="31.75"/>
    <col customWidth="1" min="4" max="4" width="17.13"/>
    <col customWidth="1" min="5" max="5" width="21.75"/>
    <col customWidth="1" min="6" max="6" width="26.88"/>
    <col customWidth="1" min="7" max="8" width="20.0"/>
    <col customWidth="1" min="9" max="9" width="52.5"/>
    <col customWidth="1" min="10" max="10" width="11.88"/>
    <col customWidth="1" hidden="1" min="11" max="11" width="8.75"/>
    <col customWidth="1" min="12" max="12" width="7.25"/>
    <col customWidth="1" min="13" max="13" width="18.75"/>
    <col customWidth="1" min="14" max="26" width="12.88"/>
  </cols>
  <sheetData>
    <row r="1">
      <c r="A1" s="1"/>
      <c r="B1" s="2" t="s">
        <v>0</v>
      </c>
      <c r="C1" s="3" t="s">
        <v>1</v>
      </c>
      <c r="D1" s="2" t="s">
        <v>2</v>
      </c>
      <c r="E1" s="4" t="s">
        <v>3</v>
      </c>
      <c r="F1" s="5" t="str">
        <f>"Total  Pass : " &amp; COUNTIF(L:L,"Pass")</f>
        <v>Total  Pass : 6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6"/>
    </row>
    <row r="2">
      <c r="B2" s="2" t="s">
        <v>4</v>
      </c>
      <c r="C2" s="7" t="s">
        <v>5</v>
      </c>
      <c r="D2" s="2" t="s">
        <v>6</v>
      </c>
      <c r="E2" s="8">
        <v>46010.0</v>
      </c>
      <c r="F2" s="9" t="str">
        <f>"Total  Fail : " &amp; COUNTIF(L:L,"Fail")</f>
        <v>Total  Fail : 0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6"/>
    </row>
    <row r="3">
      <c r="B3" s="2" t="s">
        <v>7</v>
      </c>
      <c r="C3" s="2" t="s">
        <v>8</v>
      </c>
      <c r="D3" s="2" t="s">
        <v>9</v>
      </c>
      <c r="E3" s="10" t="s">
        <v>10</v>
      </c>
      <c r="F3" s="11" t="str">
        <f>"Total  Pending : " &amp; COUNTIF(N:N,"Pending")</f>
        <v>Total  Pending : 0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6"/>
    </row>
    <row r="4">
      <c r="B4" s="2" t="s">
        <v>11</v>
      </c>
      <c r="C4" s="2" t="s">
        <v>12</v>
      </c>
      <c r="D4" s="2" t="s">
        <v>13</v>
      </c>
      <c r="E4" s="8">
        <v>46054.0</v>
      </c>
      <c r="F4" s="12" t="str">
        <f>"Total Test Case: " &amp; (
VALUE(RIGHT(F1, LEN(F1)-FIND(":",F1))) +
VALUE(RIGHT(F2, LEN(F2)-FIND(":",F2))) +
VALUE(RIGHT(F3, LEN(F3)-FIND(":",F3)))
)
</f>
        <v>Total Test Case: 6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6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6"/>
    </row>
    <row r="6">
      <c r="A6" s="13" t="s">
        <v>14</v>
      </c>
      <c r="B6" s="13" t="s">
        <v>15</v>
      </c>
      <c r="C6" s="13" t="s">
        <v>16</v>
      </c>
      <c r="D6" s="13" t="s">
        <v>17</v>
      </c>
      <c r="E6" s="13" t="s">
        <v>18</v>
      </c>
      <c r="F6" s="13" t="s">
        <v>19</v>
      </c>
      <c r="G6" s="13" t="s">
        <v>20</v>
      </c>
      <c r="H6" s="13" t="s">
        <v>21</v>
      </c>
      <c r="I6" s="13" t="s">
        <v>22</v>
      </c>
      <c r="J6" s="13" t="s">
        <v>23</v>
      </c>
      <c r="K6" s="13" t="s">
        <v>24</v>
      </c>
      <c r="L6" s="13" t="s">
        <v>25</v>
      </c>
      <c r="M6" s="13" t="s">
        <v>26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6"/>
    </row>
    <row r="7">
      <c r="A7" s="14" t="s">
        <v>27</v>
      </c>
      <c r="B7" s="14" t="s">
        <v>5</v>
      </c>
      <c r="C7" s="15" t="s">
        <v>28</v>
      </c>
      <c r="D7" s="14" t="s">
        <v>29</v>
      </c>
      <c r="E7" s="15" t="s">
        <v>30</v>
      </c>
      <c r="F7" s="15" t="s">
        <v>31</v>
      </c>
      <c r="G7" s="15" t="s">
        <v>32</v>
      </c>
      <c r="H7" s="15" t="s">
        <v>32</v>
      </c>
      <c r="I7" s="15" t="s">
        <v>33</v>
      </c>
      <c r="J7" s="14" t="s">
        <v>34</v>
      </c>
      <c r="K7" s="14" t="s">
        <v>35</v>
      </c>
      <c r="L7" s="14" t="s">
        <v>36</v>
      </c>
      <c r="M7" s="15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6"/>
    </row>
    <row r="8">
      <c r="A8" s="14" t="s">
        <v>37</v>
      </c>
      <c r="B8" s="16" t="s">
        <v>5</v>
      </c>
      <c r="C8" s="17" t="s">
        <v>38</v>
      </c>
      <c r="D8" s="14" t="s">
        <v>39</v>
      </c>
      <c r="E8" s="15" t="s">
        <v>40</v>
      </c>
      <c r="F8" s="15" t="s">
        <v>41</v>
      </c>
      <c r="G8" s="17" t="s">
        <v>32</v>
      </c>
      <c r="H8" s="17" t="s">
        <v>32</v>
      </c>
      <c r="I8" s="15" t="s">
        <v>42</v>
      </c>
      <c r="J8" s="14" t="s">
        <v>43</v>
      </c>
      <c r="K8" s="14" t="s">
        <v>44</v>
      </c>
      <c r="L8" s="14" t="s">
        <v>36</v>
      </c>
      <c r="M8" s="15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6"/>
    </row>
    <row r="9">
      <c r="A9" s="14" t="s">
        <v>45</v>
      </c>
      <c r="B9" s="14" t="s">
        <v>5</v>
      </c>
      <c r="C9" s="15" t="s">
        <v>46</v>
      </c>
      <c r="D9" s="14" t="s">
        <v>39</v>
      </c>
      <c r="E9" s="15" t="s">
        <v>47</v>
      </c>
      <c r="F9" s="14" t="s">
        <v>48</v>
      </c>
      <c r="G9" s="15" t="s">
        <v>32</v>
      </c>
      <c r="H9" s="15" t="s">
        <v>32</v>
      </c>
      <c r="I9" s="15" t="s">
        <v>49</v>
      </c>
      <c r="J9" s="14" t="s">
        <v>43</v>
      </c>
      <c r="K9" s="14" t="s">
        <v>50</v>
      </c>
      <c r="L9" s="14" t="s">
        <v>36</v>
      </c>
      <c r="M9" s="15" t="s">
        <v>51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6"/>
    </row>
    <row r="10">
      <c r="A10" s="14" t="s">
        <v>52</v>
      </c>
      <c r="B10" s="14" t="s">
        <v>5</v>
      </c>
      <c r="C10" s="15" t="s">
        <v>53</v>
      </c>
      <c r="D10" s="14" t="s">
        <v>39</v>
      </c>
      <c r="E10" s="15" t="s">
        <v>54</v>
      </c>
      <c r="F10" s="15" t="s">
        <v>55</v>
      </c>
      <c r="G10" s="15" t="s">
        <v>32</v>
      </c>
      <c r="H10" s="15" t="s">
        <v>32</v>
      </c>
      <c r="I10" s="15" t="s">
        <v>49</v>
      </c>
      <c r="J10" s="14" t="s">
        <v>34</v>
      </c>
      <c r="K10" s="14" t="s">
        <v>50</v>
      </c>
      <c r="L10" s="14" t="s">
        <v>36</v>
      </c>
      <c r="M10" s="15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6"/>
    </row>
    <row r="11">
      <c r="A11" s="14" t="s">
        <v>56</v>
      </c>
      <c r="B11" s="14" t="s">
        <v>5</v>
      </c>
      <c r="C11" s="15" t="s">
        <v>57</v>
      </c>
      <c r="D11" s="14" t="s">
        <v>39</v>
      </c>
      <c r="E11" s="15" t="s">
        <v>58</v>
      </c>
      <c r="F11" s="15" t="s">
        <v>59</v>
      </c>
      <c r="G11" s="15" t="s">
        <v>32</v>
      </c>
      <c r="H11" s="15" t="s">
        <v>32</v>
      </c>
      <c r="I11" s="15" t="s">
        <v>49</v>
      </c>
      <c r="J11" s="14" t="s">
        <v>34</v>
      </c>
      <c r="K11" s="14" t="s">
        <v>50</v>
      </c>
      <c r="L11" s="14" t="s">
        <v>36</v>
      </c>
      <c r="M11" s="15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6"/>
    </row>
    <row r="12">
      <c r="A12" s="14" t="s">
        <v>60</v>
      </c>
      <c r="B12" s="14" t="s">
        <v>61</v>
      </c>
      <c r="C12" s="15" t="s">
        <v>62</v>
      </c>
      <c r="D12" s="14" t="s">
        <v>63</v>
      </c>
      <c r="E12" s="15" t="s">
        <v>64</v>
      </c>
      <c r="F12" s="15" t="s">
        <v>65</v>
      </c>
      <c r="G12" s="15" t="s">
        <v>32</v>
      </c>
      <c r="H12" s="15" t="s">
        <v>32</v>
      </c>
      <c r="I12" s="15" t="s">
        <v>66</v>
      </c>
      <c r="J12" s="14" t="s">
        <v>43</v>
      </c>
      <c r="K12" s="14" t="s">
        <v>44</v>
      </c>
      <c r="L12" s="14" t="s">
        <v>36</v>
      </c>
      <c r="M12" s="15" t="s">
        <v>67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6"/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</sheetData>
  <mergeCells count="1">
    <mergeCell ref="A1:A4"/>
  </mergeCells>
  <dataValidations>
    <dataValidation type="list" allowBlank="1" showErrorMessage="1" sqref="J7:J12">
      <formula1>"High,Medium,Low"</formula1>
    </dataValidation>
    <dataValidation type="list" allowBlank="1" showErrorMessage="1" sqref="L7:L12">
      <formula1>"Pass,Fail"</formula1>
    </dataValidation>
    <dataValidation type="list" allowBlank="1" showErrorMessage="1" sqref="G7:H12">
      <formula1>"Sign up successful,Sign up unsuccessful,Login successful,Login unsuccessful,Logout successful,Logout unsuccessful"</formula1>
    </dataValidation>
  </dataValidations>
  <hyperlinks>
    <hyperlink r:id="rId1" ref="C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0.88"/>
    <col customWidth="1" min="2" max="2" width="21.88"/>
    <col customWidth="1" min="3" max="3" width="37.63"/>
    <col customWidth="1" min="4" max="4" width="20.13"/>
    <col customWidth="1" min="5" max="5" width="35.88"/>
    <col customWidth="1" min="6" max="6" width="21.63"/>
    <col customWidth="1" min="7" max="7" width="46.0"/>
    <col customWidth="1" min="8" max="8" width="36.13"/>
    <col customWidth="1" min="9" max="9" width="26.5"/>
    <col customWidth="1" min="10" max="10" width="11.88"/>
    <col customWidth="1" min="11" max="11" width="10.5"/>
    <col customWidth="1" min="12" max="12" width="7.63"/>
    <col customWidth="1" min="13" max="13" width="28.75"/>
    <col customWidth="1" min="14" max="26" width="17.38"/>
  </cols>
  <sheetData>
    <row r="1">
      <c r="A1" s="1"/>
      <c r="B1" s="2" t="s">
        <v>0</v>
      </c>
      <c r="C1" s="3" t="s">
        <v>1</v>
      </c>
      <c r="D1" s="7" t="s">
        <v>68</v>
      </c>
      <c r="E1" s="4" t="s">
        <v>3</v>
      </c>
      <c r="F1" s="5" t="str">
        <f>"Total  Open : " &amp; COUNTIF(L:L,"Open")</f>
        <v>Total  Open : 8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B2" s="2" t="s">
        <v>4</v>
      </c>
      <c r="C2" s="7" t="s">
        <v>5</v>
      </c>
      <c r="D2" s="7" t="s">
        <v>69</v>
      </c>
      <c r="E2" s="8">
        <v>46010.0</v>
      </c>
      <c r="F2" s="9" t="str">
        <f>"Total  Close : " &amp; COUNTIF(L:L,"Close")</f>
        <v>Total  Close : 0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B3" s="2" t="s">
        <v>7</v>
      </c>
      <c r="C3" s="2" t="s">
        <v>8</v>
      </c>
      <c r="D3" s="7" t="s">
        <v>70</v>
      </c>
      <c r="E3" s="10" t="s">
        <v>10</v>
      </c>
      <c r="F3" s="11" t="str">
        <f>"Total  Pending : " &amp; COUNTIF(N:N,"Pending")</f>
        <v>Total  Pending : 0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B4" s="2" t="s">
        <v>11</v>
      </c>
      <c r="C4" s="2" t="s">
        <v>12</v>
      </c>
      <c r="D4" s="7" t="s">
        <v>71</v>
      </c>
      <c r="E4" s="8">
        <v>46054.0</v>
      </c>
      <c r="F4" s="12" t="str">
        <f>"Total bUG: " &amp; (
VALUE(RIGHT(F1, LEN(F1)-FIND(":",F1))) +
VALUE(RIGHT(F2, LEN(F2)-FIND(":",F2))) +
VALUE(RIGHT(F3, LEN(F3)-FIND(":",F3)))
)
</f>
        <v>Total bUG: 8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18" t="s">
        <v>14</v>
      </c>
      <c r="B6" s="18" t="s">
        <v>15</v>
      </c>
      <c r="C6" s="18" t="s">
        <v>16</v>
      </c>
      <c r="D6" s="18" t="s">
        <v>17</v>
      </c>
      <c r="E6" s="18" t="s">
        <v>18</v>
      </c>
      <c r="F6" s="18" t="s">
        <v>19</v>
      </c>
      <c r="G6" s="18" t="s">
        <v>20</v>
      </c>
      <c r="H6" s="18" t="s">
        <v>21</v>
      </c>
      <c r="I6" s="18" t="s">
        <v>22</v>
      </c>
      <c r="J6" s="18" t="s">
        <v>23</v>
      </c>
      <c r="K6" s="18" t="s">
        <v>24</v>
      </c>
      <c r="L6" s="18" t="s">
        <v>25</v>
      </c>
      <c r="M6" s="18" t="s">
        <v>26</v>
      </c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19" t="s">
        <v>72</v>
      </c>
      <c r="B7" s="19" t="s">
        <v>73</v>
      </c>
      <c r="C7" s="19" t="s">
        <v>74</v>
      </c>
      <c r="D7" s="19" t="s">
        <v>39</v>
      </c>
      <c r="E7" s="19" t="s">
        <v>75</v>
      </c>
      <c r="F7" s="19" t="s">
        <v>76</v>
      </c>
      <c r="G7" s="19" t="s">
        <v>77</v>
      </c>
      <c r="H7" s="19" t="s">
        <v>78</v>
      </c>
      <c r="I7" s="20" t="s">
        <v>79</v>
      </c>
      <c r="J7" s="14" t="s">
        <v>43</v>
      </c>
      <c r="K7" s="20" t="s">
        <v>80</v>
      </c>
      <c r="L7" s="14" t="s">
        <v>81</v>
      </c>
      <c r="M7" s="20" t="s">
        <v>82</v>
      </c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19" t="s">
        <v>83</v>
      </c>
      <c r="B8" s="19" t="s">
        <v>73</v>
      </c>
      <c r="C8" s="19" t="s">
        <v>84</v>
      </c>
      <c r="D8" s="19" t="s">
        <v>39</v>
      </c>
      <c r="E8" s="19" t="s">
        <v>85</v>
      </c>
      <c r="F8" s="19" t="s">
        <v>86</v>
      </c>
      <c r="G8" s="19" t="s">
        <v>87</v>
      </c>
      <c r="H8" s="19" t="s">
        <v>88</v>
      </c>
      <c r="I8" s="19" t="s">
        <v>89</v>
      </c>
      <c r="J8" s="14" t="s">
        <v>43</v>
      </c>
      <c r="K8" s="20" t="s">
        <v>80</v>
      </c>
      <c r="L8" s="14" t="s">
        <v>81</v>
      </c>
      <c r="M8" s="19" t="s">
        <v>90</v>
      </c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19" t="s">
        <v>91</v>
      </c>
      <c r="B9" s="19" t="s">
        <v>92</v>
      </c>
      <c r="C9" s="19" t="s">
        <v>84</v>
      </c>
      <c r="D9" s="19" t="s">
        <v>39</v>
      </c>
      <c r="E9" s="19" t="s">
        <v>93</v>
      </c>
      <c r="F9" s="19" t="s">
        <v>86</v>
      </c>
      <c r="G9" s="19" t="s">
        <v>87</v>
      </c>
      <c r="H9" s="19" t="s">
        <v>88</v>
      </c>
      <c r="I9" s="19" t="s">
        <v>89</v>
      </c>
      <c r="J9" s="14" t="s">
        <v>43</v>
      </c>
      <c r="K9" s="20" t="s">
        <v>80</v>
      </c>
      <c r="L9" s="14" t="s">
        <v>81</v>
      </c>
      <c r="M9" s="19" t="s">
        <v>90</v>
      </c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19" t="s">
        <v>94</v>
      </c>
      <c r="B10" s="19" t="s">
        <v>95</v>
      </c>
      <c r="C10" s="19" t="s">
        <v>96</v>
      </c>
      <c r="D10" s="19" t="s">
        <v>39</v>
      </c>
      <c r="E10" s="19" t="s">
        <v>97</v>
      </c>
      <c r="F10" s="21">
        <v>1.2345678E7</v>
      </c>
      <c r="G10" s="19" t="s">
        <v>98</v>
      </c>
      <c r="H10" s="19" t="s">
        <v>99</v>
      </c>
      <c r="I10" s="19" t="s">
        <v>100</v>
      </c>
      <c r="J10" s="14" t="s">
        <v>43</v>
      </c>
      <c r="K10" s="20" t="s">
        <v>101</v>
      </c>
      <c r="L10" s="14" t="s">
        <v>81</v>
      </c>
      <c r="M10" s="19" t="s">
        <v>102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19" t="s">
        <v>103</v>
      </c>
      <c r="B11" s="19" t="s">
        <v>73</v>
      </c>
      <c r="C11" s="19" t="s">
        <v>104</v>
      </c>
      <c r="D11" s="19" t="s">
        <v>39</v>
      </c>
      <c r="E11" s="19" t="s">
        <v>105</v>
      </c>
      <c r="F11" s="19" t="s">
        <v>106</v>
      </c>
      <c r="G11" s="19" t="s">
        <v>107</v>
      </c>
      <c r="H11" s="19" t="s">
        <v>108</v>
      </c>
      <c r="I11" s="19" t="s">
        <v>109</v>
      </c>
      <c r="J11" s="14" t="s">
        <v>34</v>
      </c>
      <c r="K11" s="20" t="s">
        <v>101</v>
      </c>
      <c r="L11" s="14" t="s">
        <v>81</v>
      </c>
      <c r="M11" s="19" t="s">
        <v>110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19" t="s">
        <v>111</v>
      </c>
      <c r="B12" s="19" t="s">
        <v>112</v>
      </c>
      <c r="C12" s="19" t="s">
        <v>113</v>
      </c>
      <c r="D12" s="19" t="s">
        <v>39</v>
      </c>
      <c r="E12" s="22" t="s">
        <v>114</v>
      </c>
      <c r="F12" s="20" t="s">
        <v>48</v>
      </c>
      <c r="G12" s="19" t="s">
        <v>115</v>
      </c>
      <c r="H12" s="19" t="s">
        <v>116</v>
      </c>
      <c r="I12" s="19" t="s">
        <v>117</v>
      </c>
      <c r="J12" s="14" t="s">
        <v>118</v>
      </c>
      <c r="K12" s="20" t="s">
        <v>119</v>
      </c>
      <c r="L12" s="14" t="s">
        <v>81</v>
      </c>
      <c r="M12" s="19" t="s">
        <v>120</v>
      </c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19" t="s">
        <v>121</v>
      </c>
      <c r="B13" s="19" t="s">
        <v>122</v>
      </c>
      <c r="C13" s="19" t="s">
        <v>123</v>
      </c>
      <c r="D13" s="19" t="s">
        <v>124</v>
      </c>
      <c r="E13" s="19" t="s">
        <v>125</v>
      </c>
      <c r="F13" s="19" t="s">
        <v>126</v>
      </c>
      <c r="G13" s="19" t="s">
        <v>127</v>
      </c>
      <c r="H13" s="19" t="s">
        <v>128</v>
      </c>
      <c r="I13" s="19" t="s">
        <v>129</v>
      </c>
      <c r="J13" s="14" t="s">
        <v>43</v>
      </c>
      <c r="K13" s="20" t="s">
        <v>130</v>
      </c>
      <c r="L13" s="14" t="s">
        <v>81</v>
      </c>
      <c r="M13" s="19" t="s">
        <v>131</v>
      </c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19" t="s">
        <v>132</v>
      </c>
      <c r="B14" s="19" t="s">
        <v>133</v>
      </c>
      <c r="C14" s="19" t="s">
        <v>134</v>
      </c>
      <c r="D14" s="19" t="s">
        <v>39</v>
      </c>
      <c r="E14" s="19" t="s">
        <v>135</v>
      </c>
      <c r="F14" s="19" t="s">
        <v>65</v>
      </c>
      <c r="G14" s="19" t="s">
        <v>136</v>
      </c>
      <c r="H14" s="19" t="s">
        <v>137</v>
      </c>
      <c r="I14" s="19" t="s">
        <v>138</v>
      </c>
      <c r="J14" s="14" t="s">
        <v>34</v>
      </c>
      <c r="K14" s="20" t="s">
        <v>139</v>
      </c>
      <c r="L14" s="14" t="s">
        <v>81</v>
      </c>
      <c r="M14" s="19" t="s">
        <v>140</v>
      </c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</sheetData>
  <mergeCells count="1">
    <mergeCell ref="A1:A4"/>
  </mergeCells>
  <dataValidations>
    <dataValidation type="list" allowBlank="1" showErrorMessage="1" sqref="J7:J14">
      <formula1>"High,Medium,Low"</formula1>
    </dataValidation>
    <dataValidation type="list" allowBlank="1" showErrorMessage="1" sqref="L7:L14">
      <formula1>"Open,Close"</formula1>
    </dataValidation>
  </dataValidations>
  <hyperlinks>
    <hyperlink r:id="rId1" ref="C1"/>
  </hyperlinks>
  <drawing r:id="rId2"/>
</worksheet>
</file>